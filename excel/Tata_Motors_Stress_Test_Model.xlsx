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ji\Downloads\"/>
    </mc:Choice>
  </mc:AlternateContent>
  <xr:revisionPtr revIDLastSave="0" documentId="13_ncr:1_{9CABFF5A-701A-43D9-9DA1-0D0EB388856B}" xr6:coauthVersionLast="47" xr6:coauthVersionMax="47" xr10:uidLastSave="{00000000-0000-0000-0000-000000000000}"/>
  <bookViews>
    <workbookView xWindow="-96" yWindow="0" windowWidth="11712" windowHeight="13056" tabRatio="500" firstSheet="3" activeTab="3" xr2:uid="{00000000-000D-0000-FFFF-FFFF00000000}"/>
  </bookViews>
  <sheets>
    <sheet name="README" sheetId="1" r:id="rId1"/>
    <sheet name="Historicals" sheetId="2" r:id="rId2"/>
    <sheet name="Segment Data" sheetId="3" r:id="rId3"/>
    <sheet name="Assumptions" sheetId="4" r:id="rId4"/>
    <sheet name="Scenario Model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E32" i="5"/>
  <c r="D32" i="5"/>
  <c r="C32" i="5"/>
  <c r="B32" i="5"/>
  <c r="E22" i="5"/>
  <c r="D22" i="5"/>
  <c r="C22" i="5"/>
  <c r="B22" i="5"/>
  <c r="E20" i="5"/>
  <c r="D20" i="5"/>
  <c r="C20" i="5"/>
  <c r="B20" i="5"/>
  <c r="E14" i="5"/>
  <c r="D14" i="5"/>
  <c r="C14" i="5"/>
  <c r="B14" i="5"/>
  <c r="E9" i="5"/>
  <c r="D9" i="5"/>
  <c r="C9" i="5"/>
  <c r="B9" i="5"/>
  <c r="E8" i="5"/>
  <c r="D8" i="5"/>
  <c r="C8" i="5"/>
  <c r="B8" i="5"/>
  <c r="E7" i="5"/>
  <c r="D7" i="5"/>
  <c r="C7" i="5"/>
  <c r="B7" i="5"/>
  <c r="E6" i="5"/>
  <c r="E10" i="5" s="1"/>
  <c r="E15" i="5" s="1"/>
  <c r="D6" i="5"/>
  <c r="D10" i="5" s="1"/>
  <c r="D15" i="5" s="1"/>
  <c r="C6" i="5"/>
  <c r="C10" i="5" s="1"/>
  <c r="C15" i="5" s="1"/>
  <c r="B6" i="5"/>
  <c r="D18" i="3"/>
  <c r="C18" i="3"/>
  <c r="B18" i="3"/>
  <c r="E27" i="2"/>
  <c r="D27" i="2"/>
  <c r="C27" i="2"/>
  <c r="B27" i="2"/>
  <c r="E26" i="2"/>
  <c r="D26" i="2"/>
  <c r="C26" i="2"/>
  <c r="B26" i="2"/>
  <c r="E12" i="2"/>
  <c r="D12" i="2"/>
  <c r="C12" i="2"/>
  <c r="B12" i="2"/>
  <c r="B10" i="5" l="1"/>
  <c r="B15" i="5" s="1"/>
  <c r="B16" i="5" s="1"/>
  <c r="B34" i="5" s="1"/>
  <c r="B13" i="6" s="1"/>
  <c r="E23" i="5"/>
  <c r="D23" i="5"/>
  <c r="C23" i="5"/>
  <c r="B23" i="5"/>
  <c r="E13" i="5"/>
  <c r="E16" i="5" s="1"/>
  <c r="E34" i="5" s="1"/>
  <c r="E13" i="6" s="1"/>
  <c r="E5" i="6"/>
  <c r="D13" i="5"/>
  <c r="D16" i="5"/>
  <c r="D34" i="5" s="1"/>
  <c r="D13" i="6" s="1"/>
  <c r="D5" i="6"/>
  <c r="C13" i="5"/>
  <c r="C16" i="5" s="1"/>
  <c r="C34" i="5" s="1"/>
  <c r="C13" i="6" s="1"/>
  <c r="C5" i="6"/>
  <c r="B13" i="5"/>
  <c r="B5" i="6"/>
  <c r="E29" i="2"/>
  <c r="E28" i="2"/>
  <c r="E14" i="2"/>
  <c r="E16" i="2" s="1"/>
  <c r="E18" i="2" s="1"/>
  <c r="D29" i="2"/>
  <c r="D28" i="2"/>
  <c r="D14" i="2"/>
  <c r="D16" i="2" s="1"/>
  <c r="D18" i="2" s="1"/>
  <c r="C28" i="2"/>
  <c r="C29" i="2"/>
  <c r="C14" i="2"/>
  <c r="C16" i="2" s="1"/>
  <c r="C18" i="2" s="1"/>
  <c r="B28" i="2"/>
  <c r="B29" i="2"/>
  <c r="B14" i="2"/>
  <c r="B18" i="2" s="1"/>
  <c r="E21" i="5" l="1"/>
  <c r="E17" i="5"/>
  <c r="E7" i="6" s="1"/>
  <c r="E6" i="6"/>
  <c r="D17" i="5"/>
  <c r="D7" i="6" s="1"/>
  <c r="D6" i="6"/>
  <c r="D21" i="5"/>
  <c r="C6" i="6"/>
  <c r="C21" i="5"/>
  <c r="C17" i="5"/>
  <c r="C7" i="6" s="1"/>
  <c r="B17" i="5"/>
  <c r="B7" i="6" s="1"/>
  <c r="B21" i="5"/>
  <c r="B6" i="6"/>
  <c r="E24" i="5" l="1"/>
  <c r="E8" i="6"/>
  <c r="E28" i="5"/>
  <c r="E11" i="6" s="1"/>
  <c r="D24" i="5"/>
  <c r="D8" i="6"/>
  <c r="D28" i="5"/>
  <c r="D11" i="6" s="1"/>
  <c r="C24" i="5"/>
  <c r="C8" i="6"/>
  <c r="C28" i="5"/>
  <c r="C11" i="6" s="1"/>
  <c r="B24" i="5"/>
  <c r="B8" i="6"/>
  <c r="B28" i="5"/>
  <c r="B11" i="6" s="1"/>
  <c r="E25" i="5" l="1"/>
  <c r="E26" i="5" s="1"/>
  <c r="D25" i="5"/>
  <c r="D26" i="5" s="1"/>
  <c r="C25" i="5"/>
  <c r="C26" i="5" s="1"/>
  <c r="B25" i="5"/>
  <c r="B26" i="5" s="1"/>
  <c r="E27" i="5" l="1"/>
  <c r="E10" i="6" s="1"/>
  <c r="E9" i="6"/>
  <c r="E31" i="5"/>
  <c r="E33" i="5" s="1"/>
  <c r="E12" i="6" s="1"/>
  <c r="D27" i="5"/>
  <c r="D10" i="6" s="1"/>
  <c r="D31" i="5"/>
  <c r="D33" i="5" s="1"/>
  <c r="D12" i="6" s="1"/>
  <c r="D9" i="6"/>
  <c r="C27" i="5"/>
  <c r="C10" i="6" s="1"/>
  <c r="C9" i="6"/>
  <c r="C31" i="5"/>
  <c r="C33" i="5" s="1"/>
  <c r="C12" i="6" s="1"/>
  <c r="B31" i="5"/>
  <c r="B33" i="5" s="1"/>
  <c r="B12" i="6" s="1"/>
  <c r="B9" i="6"/>
  <c r="B27" i="5"/>
  <c r="B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9" authorId="0" shapeId="0" xr:uid="{00000000-0006-0000-0100-000001000000}">
      <text>
        <r>
          <rPr>
            <sz val="10"/>
            <rFont val="Arial"/>
            <family val="2"/>
          </rPr>
          <t>FY25 reported PAT of ₹28,149 cr includes ₹4,871 cr profit from discontinued operations (Tata Motors Finance-Tata Capital merger). Continuing-operations PAT for FY25 was ₹23,278 cr. The model rows above (16-18) exclude FX gain/loss, CCPS fair-value items and exceptional items for a cleaner run-rate view, so they will not tie exactly to reported PBT/PAT.</t>
        </r>
      </text>
    </comment>
    <comment ref="A20" authorId="0" shapeId="0" xr:uid="{00000000-0006-0000-0100-000002000000}">
      <text>
        <r>
          <rPr>
            <sz val="10"/>
            <rFont val="Arial"/>
            <family val="2"/>
          </rPr>
          <t>Tata Motors capitalises a large share of product development/engineering spend (mainly JLR new model programmes) rather than expensing it in full. Netting this off (as the company itself does when quoting 'adjusted EBITDA') gives a realistic ~11-13% EBITDA margin instead of ~5% if every rupee of R&amp;D were treated as a period expense.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3" authorId="0" shapeId="0" xr:uid="{00000000-0006-0000-0300-000001000000}">
      <text>
        <r>
          <rPr>
            <sz val="10"/>
            <rFont val="Arial"/>
            <family val="2"/>
          </rPr>
          <t>FY25 actual material cost ratio ≈ 54.8% of revenue. Stress cases raise this ratio to reflect higher input/commodity costs; Optimistic lowers it to reflect procurement efficiency / mix benefit.</t>
        </r>
      </text>
    </comment>
    <comment ref="A18" authorId="0" shapeId="0" xr:uid="{00000000-0006-0000-0300-000002000000}">
      <text>
        <r>
          <rPr>
            <sz val="10"/>
            <rFont val="Arial"/>
            <family val="2"/>
          </rPr>
          <t>FY25 implied rate (Finance costs / Total borrowings) ≈ 8.1%. Stress cases assume RBI/market rate hikes and/or a credit-rating-driven spread widening.</t>
        </r>
      </text>
    </comment>
    <comment ref="A20" authorId="0" shapeId="0" xr:uid="{00000000-0006-0000-0300-000003000000}">
      <text>
        <r>
          <rPr>
            <sz val="10"/>
            <rFont val="Arial"/>
            <family val="2"/>
          </rPr>
          <t>Under stress, management typically defers/cuts capex (e.g. EV rollout, JLR model launches) to protect cash — the Extreme case assumes a sharp capex pullback.</t>
        </r>
      </text>
    </comment>
    <comment ref="A21" authorId="0" shapeId="0" xr:uid="{00000000-0006-0000-0300-000004000000}">
      <text>
        <r>
          <rPr>
            <sz val="10"/>
            <rFont val="Arial"/>
            <family val="2"/>
          </rPr>
          <t>FY25 actual capitalisation run-rate ≈ 7.1% of revenue. Stress/Extreme cases assume management cuts capitalised development spend (fewer new model programmes) alongside the capex pullback, which further compresses EBITDA under stress.</t>
        </r>
      </text>
    </comment>
  </commentList>
</comments>
</file>

<file path=xl/sharedStrings.xml><?xml version="1.0" encoding="utf-8"?>
<sst xmlns="http://schemas.openxmlformats.org/spreadsheetml/2006/main" count="145" uniqueCount="122">
  <si>
    <t>Tata Motors — Business Stress Testing &amp; Survival Simulator</t>
  </si>
  <si>
    <t>A driver-based financial model to test how Tata Motors' profitability, cash flow and debt position would hold up under adverse business conditions.</t>
  </si>
  <si>
    <t>Purpose</t>
  </si>
  <si>
    <t>Answers: 'How much financial stress can Tata Motors withstand before profitability or cash flow is seriously affected?' Not a forecast — a scenario stress-test.</t>
  </si>
  <si>
    <t>How it works</t>
  </si>
  <si>
    <t>Historicals (FY22-FY25) → Assumptions (scenario drivers, edit the YELLOW cells) → Scenario Model (projects next year under 4 cases) → Dashboard (compares outcomes).</t>
  </si>
  <si>
    <t>Scenarios</t>
  </si>
  <si>
    <t>Base Case (steady state) | Optimistic Case (demand tailwinds) | Stress Case (moderate shock) | Extreme Stress Case (severe, compounding shock).</t>
  </si>
  <si>
    <t>Sheets</t>
  </si>
  <si>
    <t>1. Historicals  2. Segment Data  3. Assumptions  4. Scenario Model  5. Dashboard</t>
  </si>
  <si>
    <t>Colour key</t>
  </si>
  <si>
    <t>Blue text = hardcoded input/actual.  Black text = formula.  Green text = link to another sheet.  Yellow fill = assumption you should edit to run your own scenarios.</t>
  </si>
  <si>
    <t>Sources</t>
  </si>
  <si>
    <t>Tata Motors Integrated Annual Reports FY2022-23, FY2023-24 and FY2024-25 (Consolidated Financial Statements), as uploaded. All figures in ₹ crores unless stated.</t>
  </si>
  <si>
    <t>Key limitation</t>
  </si>
  <si>
    <t>FY24 figures are restated in the FY25 report following the Tata Motors Finance Ltd - Tata Capital merger (discontinued operations). Historicals sheet uses each year's originally reported figures; FY25 total PAT includes ₹4,871 cr from discontinued operations, shown separately.</t>
  </si>
  <si>
    <t>Tata Motors — Consolidated Historical Financials (₹ crores)</t>
  </si>
  <si>
    <t>Source: Consolidated Financial Statements, Integrated Annual Reports FY2022-23, FY2023-24, FY2024-25 (tatamotors.com)</t>
  </si>
  <si>
    <t>Particulars</t>
  </si>
  <si>
    <t>FY22</t>
  </si>
  <si>
    <t>FY23</t>
  </si>
  <si>
    <t>FY24</t>
  </si>
  <si>
    <t>FY25</t>
  </si>
  <si>
    <t>Revenue from operations</t>
  </si>
  <si>
    <t>Cost of materials consumed (incl. hedge adj.)</t>
  </si>
  <si>
    <t>Purchase of products for sale</t>
  </si>
  <si>
    <t>Changes in inventories</t>
  </si>
  <si>
    <t>Employee benefits expense</t>
  </si>
  <si>
    <t>Other expenses</t>
  </si>
  <si>
    <t>Product development / engineering expenses</t>
  </si>
  <si>
    <t>EBITDA</t>
  </si>
  <si>
    <t>Depreciation &amp; amortisation expense</t>
  </si>
  <si>
    <t>EBIT</t>
  </si>
  <si>
    <t>Finance costs</t>
  </si>
  <si>
    <t>Profit before tax (model, ex. FX/other one-offs)</t>
  </si>
  <si>
    <t>Tax expense</t>
  </si>
  <si>
    <t>Profit after tax (model, ex. FX/other one-offs)</t>
  </si>
  <si>
    <t>Reported Profit for the year (per Annual Report)</t>
  </si>
  <si>
    <t>Less: Amount transferred to capital and other account (capitalised R&amp;D/development costs, credit)</t>
  </si>
  <si>
    <t>Debt, Assets &amp; Cash Flow</t>
  </si>
  <si>
    <t>Total Borrowings (non-current + current)</t>
  </si>
  <si>
    <t>Total Assets</t>
  </si>
  <si>
    <t>Net Cash from Operating Activities</t>
  </si>
  <si>
    <t>Capex (PP&amp;E + intangible assets)</t>
  </si>
  <si>
    <t>Free Cash Flow</t>
  </si>
  <si>
    <t>Implied Interest Rate on Debt</t>
  </si>
  <si>
    <t>EBITDA Margin</t>
  </si>
  <si>
    <t>Net Debt / EBITDA</t>
  </si>
  <si>
    <t>Note: 'Cost of materials consumed' includes basis adjustment on hedge-accounted derivatives for FY22/FY23 to match the FY24 report's presentation. All figures as reported in each year's Consolidated Statement of Profit &amp; Loss / Balance Sheet / Cash Flow Statement.</t>
  </si>
  <si>
    <t>Tata Motors — Segment Revenue &amp; Results (₹ crores)</t>
  </si>
  <si>
    <t>Source: Note 45 'Segment Reporting', Consolidated Financial Statements, FY2022-23 / FY2023-24 / FY2024-25 Annual Reports</t>
  </si>
  <si>
    <t>Tata Commercial Vehicles (CV)</t>
  </si>
  <si>
    <t>External Revenue</t>
  </si>
  <si>
    <t>Segment Result (EBIT)</t>
  </si>
  <si>
    <t>Tata Passenger Vehicles incl. EV (PV)</t>
  </si>
  <si>
    <t>Jaguar Land Rover (JLR)</t>
  </si>
  <si>
    <t>Vehicle Financing &amp; Others</t>
  </si>
  <si>
    <t>External Revenue (Vehicle Financing + 'Others' segment)</t>
  </si>
  <si>
    <t>Total External Revenue (check)</t>
  </si>
  <si>
    <t>Note: 'Vehicle Financing &amp; Others' combines the Vehicle Financing sub-segment with the 'Others' segment (IT services &amp; insurance broking) since neither is individually material. Row 18 should reconcile closely to 'Revenue from operations' on the Historicals sheet (small gaps are intra-segment eliminations).</t>
  </si>
  <si>
    <t>Scenario Assumptions — FY26 Stress-Test Drivers</t>
  </si>
  <si>
    <t>Edit the YELLOW cells to define your own scenarios. All other sheets recalculate automatically.</t>
  </si>
  <si>
    <t>Driver</t>
  </si>
  <si>
    <t>Base Case</t>
  </si>
  <si>
    <t>Optimistic Case</t>
  </si>
  <si>
    <t>Stress Case</t>
  </si>
  <si>
    <t>Extreme Stress Case</t>
  </si>
  <si>
    <t>Volume / Demand Drivers</t>
  </si>
  <si>
    <t>CV Volume Growth %</t>
  </si>
  <si>
    <t>PV/EV Volume Growth %</t>
  </si>
  <si>
    <t>JLR Volume Growth %</t>
  </si>
  <si>
    <t>Vehicle Financing &amp; Others Revenue Growth %</t>
  </si>
  <si>
    <t>Pricing</t>
  </si>
  <si>
    <t>Blended Selling Price Change % (all segments)</t>
  </si>
  <si>
    <t>Cost Drivers</t>
  </si>
  <si>
    <t>Material Cost (% of Revenue)</t>
  </si>
  <si>
    <t>Employee Cost Growth %</t>
  </si>
  <si>
    <t>Other Operating Expense Growth %</t>
  </si>
  <si>
    <t>D&amp;A Growth %</t>
  </si>
  <si>
    <t>Financing &amp; Tax</t>
  </si>
  <si>
    <t>Interest Rate on Borrowings %</t>
  </si>
  <si>
    <t>Corporate Tax Rate %</t>
  </si>
  <si>
    <t>Capex Growth %</t>
  </si>
  <si>
    <t>Capitalisation Rate (% of Revenue) — R&amp;D/development costs capitalised</t>
  </si>
  <si>
    <t>Row reference (for the Scenario Model formulas): CV growth=6, PV growth=7, JLR growth=8, VF&amp;Others growth=9, Price change=11, Material cost %=13, Employee growth=14, Other opex growth=15, D&amp;A growth=16, Interest rate=18, Tax rate=19, Capex growth=20.</t>
  </si>
  <si>
    <t>FY26 Scenario Model — Base / Optimistic / Stress / Extreme Stress</t>
  </si>
  <si>
    <t>All figures ₹ crores unless noted. Formulas project FY26 off FY25 actuals (Historicals, Segment Data) using the Assumptions sheet drivers.</t>
  </si>
  <si>
    <t>Line Item</t>
  </si>
  <si>
    <t>Revenue Build (Segment Data FY25 base x Assumptions growth x price change)</t>
  </si>
  <si>
    <t>CV Revenue</t>
  </si>
  <si>
    <t>PV/EV Revenue</t>
  </si>
  <si>
    <t>JLR Revenue</t>
  </si>
  <si>
    <t>Vehicle Financing &amp; Others Revenue</t>
  </si>
  <si>
    <t>Total Revenue</t>
  </si>
  <si>
    <t>Costs</t>
  </si>
  <si>
    <t>Material Costs (Revenue x Material Cost %)</t>
  </si>
  <si>
    <t>Employee Costs</t>
  </si>
  <si>
    <t>Other Operating Expenses, net of capitalised R&amp;D/dev. costs (Assumptions row 21)</t>
  </si>
  <si>
    <t>EBITDA Margin %</t>
  </si>
  <si>
    <t>Profitability</t>
  </si>
  <si>
    <t>Depreciation &amp; Amortisation</t>
  </si>
  <si>
    <t>Total Debt (held at FY25 level)</t>
  </si>
  <si>
    <t>Interest Expense</t>
  </si>
  <si>
    <t>Profit Before Tax</t>
  </si>
  <si>
    <t>Tax Expense</t>
  </si>
  <si>
    <t>Net Profit (PAT)</t>
  </si>
  <si>
    <t>Net Profit Margin %</t>
  </si>
  <si>
    <t>Interest Coverage Ratio (EBIT / Interest)</t>
  </si>
  <si>
    <t>Cash Flow &amp; Balance Sheet Stress</t>
  </si>
  <si>
    <t>Operating Cash Flow (proxy: PAT + D&amp;A)</t>
  </si>
  <si>
    <t>Capex</t>
  </si>
  <si>
    <t>Row map for Dashboard sheet -&gt; Revenue:10, EBITDA:16, EBITDA Margin:17, EBIT:21, PBT:24, PAT:26, Net Margin:27, Interest Coverage:28, Op Cash Flow:31, Capex:32, Free Cash Flow:33, Net Debt/EBITDA:34</t>
  </si>
  <si>
    <t>Tata Motors — Stress Test Dashboard (FY26 Scenarios)</t>
  </si>
  <si>
    <t>How much financial stress can Tata Motors withstand before profitability or cash flow is seriously affected?</t>
  </si>
  <si>
    <t>Metric</t>
  </si>
  <si>
    <t>Total Revenue (₹ cr)</t>
  </si>
  <si>
    <t>EBITDA (₹ cr)</t>
  </si>
  <si>
    <t>EBIT (₹ cr)</t>
  </si>
  <si>
    <t>Net Profit / PAT (₹ cr)</t>
  </si>
  <si>
    <t>Net Margin</t>
  </si>
  <si>
    <t>Interest Coverage Ratio</t>
  </si>
  <si>
    <t>Free Cash Flow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</si>
</sst>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\x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8"/>
      <color rgb="FF808080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b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1F6FB2"/>
      </patternFill>
    </fill>
    <fill>
      <patternFill patternType="solid">
        <fgColor rgb="FFD6DCE4"/>
        <bgColor rgb="FFD9D9D9"/>
      </patternFill>
    </fill>
    <fill>
      <patternFill patternType="solid">
        <fgColor rgb="FFFFFF99"/>
        <bgColor rgb="FFF9F9F9"/>
      </patternFill>
    </fill>
    <fill>
      <patternFill patternType="solid">
        <fgColor rgb="FF1F6FB2"/>
        <bgColor rgb="FF2E75B6"/>
      </patternFill>
    </fill>
    <fill>
      <patternFill patternType="solid">
        <fgColor rgb="FF2E7D32"/>
        <bgColor rgb="FF008000"/>
      </patternFill>
    </fill>
    <fill>
      <patternFill patternType="solid">
        <fgColor rgb="FFC55A11"/>
        <bgColor rgb="FFC0504D"/>
      </patternFill>
    </fill>
    <fill>
      <patternFill patternType="solid">
        <fgColor rgb="FF9C2A00"/>
        <bgColor rgb="FF99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 applyAlignment="1">
      <alignment wrapText="1"/>
    </xf>
    <xf numFmtId="0" fontId="3" fillId="4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indent="1"/>
    </xf>
    <xf numFmtId="164" fontId="6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/>
    <xf numFmtId="164" fontId="7" fillId="0" borderId="1" xfId="0" applyNumberFormat="1" applyFont="1" applyBorder="1"/>
    <xf numFmtId="0" fontId="4" fillId="0" borderId="0" xfId="0" applyFont="1" applyAlignment="1">
      <alignment wrapText="1" indent="1"/>
    </xf>
    <xf numFmtId="165" fontId="7" fillId="0" borderId="1" xfId="0" applyNumberFormat="1" applyFont="1" applyBorder="1"/>
    <xf numFmtId="166" fontId="7" fillId="0" borderId="1" xfId="0" applyNumberFormat="1" applyFont="1" applyBorder="1"/>
    <xf numFmtId="165" fontId="6" fillId="5" borderId="1" xfId="0" applyNumberFormat="1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/>
    <xf numFmtId="164" fontId="11" fillId="0" borderId="1" xfId="0" applyNumberFormat="1" applyFont="1" applyBorder="1"/>
    <xf numFmtId="165" fontId="10" fillId="0" borderId="1" xfId="0" applyNumberFormat="1" applyFont="1" applyBorder="1"/>
    <xf numFmtId="166" fontId="1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7B7B7"/>
      <rgbColor rgb="FF808080"/>
      <rgbColor rgb="FF9999FF"/>
      <rgbColor rgb="FFC0504D"/>
      <rgbColor rgb="FFF9F9F9"/>
      <rgbColor rgb="FFCCFFFF"/>
      <rgbColor rgb="FF660066"/>
      <rgbColor rgb="FFFF8080"/>
      <rgbColor rgb="FF1F6FB2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003366"/>
      <rgbColor rgb="FF2E7D32"/>
      <rgbColor rgb="FF003300"/>
      <rgbColor rgb="FF333300"/>
      <rgbColor rgb="FF9C2A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Margins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Dashboard!$B$4:$E$4</c:f>
              <c:strCache>
                <c:ptCount val="4"/>
                <c:pt idx="0">
                  <c:v>Base Case</c:v>
                </c:pt>
                <c:pt idx="1">
                  <c:v>Optimistic Case</c:v>
                </c:pt>
                <c:pt idx="2">
                  <c:v>Stress Case</c:v>
                </c:pt>
                <c:pt idx="3">
                  <c:v>Extreme Stress Case</c:v>
                </c:pt>
              </c:strCache>
            </c:strRef>
          </c:cat>
          <c:val>
            <c:numRef>
              <c:f>Dashboard!$B$7:$E$7</c:f>
              <c:numCache>
                <c:formatCode>0.0%;\(0.0%\);\-</c:formatCode>
                <c:ptCount val="4"/>
                <c:pt idx="0">
                  <c:v>0.11373424828446657</c:v>
                </c:pt>
                <c:pt idx="1">
                  <c:v>0.15672656415692326</c:v>
                </c:pt>
                <c:pt idx="2">
                  <c:v>-1.4396728919459052E-2</c:v>
                </c:pt>
                <c:pt idx="3">
                  <c:v>-0.1304717521248723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3-4B12-B114-C5AA81835E8C}"/>
            </c:ext>
          </c:extLst>
        </c:ser>
        <c:ser>
          <c:idx val="1"/>
          <c:order val="1"/>
          <c:tx>
            <c:strRef>
              <c:f>Dashboard!$A$10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Dashboard!$B$4:$E$4</c:f>
              <c:strCache>
                <c:ptCount val="4"/>
                <c:pt idx="0">
                  <c:v>Base Case</c:v>
                </c:pt>
                <c:pt idx="1">
                  <c:v>Optimistic Case</c:v>
                </c:pt>
                <c:pt idx="2">
                  <c:v>Stress Case</c:v>
                </c:pt>
                <c:pt idx="3">
                  <c:v>Extreme Stress Case</c:v>
                </c:pt>
              </c:strCache>
            </c:strRef>
          </c:cat>
          <c:val>
            <c:numRef>
              <c:f>Dashboard!$B$10:$E$10</c:f>
              <c:numCache>
                <c:formatCode>0.0%;\(0.0%\);\-</c:formatCode>
                <c:ptCount val="4"/>
                <c:pt idx="0">
                  <c:v>3.8540154203056724E-2</c:v>
                </c:pt>
                <c:pt idx="1">
                  <c:v>7.3990478262386181E-2</c:v>
                </c:pt>
                <c:pt idx="2">
                  <c:v>-9.2732945712587486E-2</c:v>
                </c:pt>
                <c:pt idx="3">
                  <c:v>-0.22329866616834843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3-4B12-B114-C5AA8183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37256"/>
        <c:axId val="85147829"/>
      </c:barChart>
      <c:catAx>
        <c:axId val="94137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47829"/>
        <c:crosses val="autoZero"/>
        <c:auto val="1"/>
        <c:lblAlgn val="ctr"/>
        <c:lblOffset val="100"/>
        <c:noMultiLvlLbl val="0"/>
      </c:catAx>
      <c:valAx>
        <c:axId val="85147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37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Interest Coverage Ratio by Scenario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Dashboard!$A$11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Dashboard!$B$4:$E$4</c:f>
              <c:strCache>
                <c:ptCount val="4"/>
                <c:pt idx="0">
                  <c:v>Base Case</c:v>
                </c:pt>
                <c:pt idx="1">
                  <c:v>Optimistic Case</c:v>
                </c:pt>
                <c:pt idx="2">
                  <c:v>Stress Case</c:v>
                </c:pt>
                <c:pt idx="3">
                  <c:v>Extreme Stress Case</c:v>
                </c:pt>
              </c:strCache>
            </c:strRef>
          </c:cat>
          <c:val>
            <c:numRef>
              <c:f>Dashboard!$B$11:$E$11</c:f>
              <c:numCache>
                <c:formatCode>0.00\x</c:formatCode>
                <c:ptCount val="4"/>
                <c:pt idx="0">
                  <c:v>5.6861923124103271</c:v>
                </c:pt>
                <c:pt idx="1">
                  <c:v>10.658939700724098</c:v>
                </c:pt>
                <c:pt idx="2">
                  <c:v>-4.8204899049332086</c:v>
                </c:pt>
                <c:pt idx="3">
                  <c:v>-9.3801131479921871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D-4949-988E-3CD57EB87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6638"/>
        <c:axId val="62142438"/>
      </c:barChart>
      <c:catAx>
        <c:axId val="20016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42438"/>
        <c:crosses val="autoZero"/>
        <c:auto val="1"/>
        <c:lblAlgn val="ctr"/>
        <c:lblOffset val="100"/>
        <c:noMultiLvlLbl val="0"/>
      </c:catAx>
      <c:valAx>
        <c:axId val="62142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16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70183</xdr:rowOff>
    </xdr:from>
    <xdr:to>
      <xdr:col>3</xdr:col>
      <xdr:colOff>365529</xdr:colOff>
      <xdr:row>28</xdr:row>
      <xdr:rowOff>70092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70185</xdr:rowOff>
    </xdr:from>
    <xdr:to>
      <xdr:col>3</xdr:col>
      <xdr:colOff>365529</xdr:colOff>
      <xdr:row>44</xdr:row>
      <xdr:rowOff>144414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showGridLines="0" topLeftCell="A10" zoomScaleNormal="100" workbookViewId="0">
      <selection activeCell="B28" sqref="B28"/>
    </sheetView>
  </sheetViews>
  <sheetFormatPr defaultColWidth="8.6640625" defaultRowHeight="14.4" x14ac:dyDescent="0.3"/>
  <cols>
    <col min="1" max="1" width="3" customWidth="1"/>
    <col min="2" max="2" width="40" customWidth="1"/>
    <col min="3" max="6" width="14" customWidth="1"/>
    <col min="7" max="7" width="3" customWidth="1"/>
  </cols>
  <sheetData>
    <row r="2" spans="2:6" ht="21.75" customHeight="1" x14ac:dyDescent="0.3">
      <c r="B2" s="5" t="s">
        <v>0</v>
      </c>
      <c r="C2" s="5"/>
      <c r="D2" s="5"/>
      <c r="E2" s="5"/>
      <c r="F2" s="5"/>
    </row>
    <row r="3" spans="2:6" ht="15" customHeight="1" x14ac:dyDescent="0.3">
      <c r="B3" s="4" t="s">
        <v>1</v>
      </c>
      <c r="C3" s="4"/>
      <c r="D3" s="4"/>
      <c r="E3" s="4"/>
      <c r="F3" s="4"/>
    </row>
    <row r="5" spans="2:6" ht="15" customHeight="1" x14ac:dyDescent="0.3">
      <c r="B5" s="6" t="s">
        <v>2</v>
      </c>
    </row>
    <row r="6" spans="2:6" ht="31.5" customHeight="1" x14ac:dyDescent="0.3">
      <c r="B6" s="3" t="s">
        <v>3</v>
      </c>
      <c r="C6" s="3"/>
      <c r="D6" s="3"/>
      <c r="E6" s="3"/>
      <c r="F6" s="3"/>
    </row>
    <row r="8" spans="2:6" ht="15" customHeight="1" x14ac:dyDescent="0.3">
      <c r="B8" s="6" t="s">
        <v>4</v>
      </c>
    </row>
    <row r="9" spans="2:6" ht="31.5" customHeight="1" x14ac:dyDescent="0.3">
      <c r="B9" s="3" t="s">
        <v>5</v>
      </c>
      <c r="C9" s="3"/>
      <c r="D9" s="3"/>
      <c r="E9" s="3"/>
      <c r="F9" s="3"/>
    </row>
    <row r="11" spans="2:6" ht="15" customHeight="1" x14ac:dyDescent="0.3">
      <c r="B11" s="6" t="s">
        <v>6</v>
      </c>
    </row>
    <row r="12" spans="2:6" ht="31.5" customHeight="1" x14ac:dyDescent="0.3">
      <c r="B12" s="3" t="s">
        <v>7</v>
      </c>
      <c r="C12" s="3"/>
      <c r="D12" s="3"/>
      <c r="E12" s="3"/>
      <c r="F12" s="3"/>
    </row>
    <row r="14" spans="2:6" ht="15" customHeight="1" x14ac:dyDescent="0.3">
      <c r="B14" s="6" t="s">
        <v>8</v>
      </c>
    </row>
    <row r="15" spans="2:6" ht="31.5" customHeight="1" x14ac:dyDescent="0.3">
      <c r="B15" s="3" t="s">
        <v>9</v>
      </c>
      <c r="C15" s="3"/>
      <c r="D15" s="3"/>
      <c r="E15" s="3"/>
      <c r="F15" s="3"/>
    </row>
    <row r="17" spans="2:6" ht="15" customHeight="1" x14ac:dyDescent="0.3">
      <c r="B17" s="6" t="s">
        <v>10</v>
      </c>
    </row>
    <row r="18" spans="2:6" ht="31.5" customHeight="1" x14ac:dyDescent="0.3">
      <c r="B18" s="3" t="s">
        <v>11</v>
      </c>
      <c r="C18" s="3"/>
      <c r="D18" s="3"/>
      <c r="E18" s="3"/>
      <c r="F18" s="3"/>
    </row>
    <row r="20" spans="2:6" ht="15" customHeight="1" x14ac:dyDescent="0.3">
      <c r="B20" s="6" t="s">
        <v>12</v>
      </c>
    </row>
    <row r="21" spans="2:6" ht="31.5" customHeight="1" x14ac:dyDescent="0.3">
      <c r="B21" s="3" t="s">
        <v>13</v>
      </c>
      <c r="C21" s="3"/>
      <c r="D21" s="3"/>
      <c r="E21" s="3"/>
      <c r="F21" s="3"/>
    </row>
    <row r="23" spans="2:6" ht="15" customHeight="1" x14ac:dyDescent="0.3">
      <c r="B23" s="6" t="s">
        <v>14</v>
      </c>
    </row>
    <row r="24" spans="2:6" ht="31.5" customHeight="1" x14ac:dyDescent="0.3">
      <c r="B24" s="3" t="s">
        <v>15</v>
      </c>
      <c r="C24" s="3"/>
      <c r="D24" s="3"/>
      <c r="E24" s="3"/>
      <c r="F24" s="3"/>
    </row>
  </sheetData>
  <mergeCells count="9">
    <mergeCell ref="B15:F15"/>
    <mergeCell ref="B18:F18"/>
    <mergeCell ref="B21:F21"/>
    <mergeCell ref="B24:F24"/>
    <mergeCell ref="B2:F2"/>
    <mergeCell ref="B3:F3"/>
    <mergeCell ref="B6:F6"/>
    <mergeCell ref="B9:F9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zoomScaleNormal="100" workbookViewId="0">
      <selection activeCell="E9" sqref="E9"/>
    </sheetView>
  </sheetViews>
  <sheetFormatPr defaultColWidth="8.6640625" defaultRowHeight="14.4" x14ac:dyDescent="0.3"/>
  <cols>
    <col min="1" max="1" width="46" customWidth="1"/>
    <col min="2" max="5" width="15" customWidth="1"/>
  </cols>
  <sheetData>
    <row r="1" spans="1:5" ht="21.75" customHeight="1" x14ac:dyDescent="0.3">
      <c r="A1" s="5" t="s">
        <v>16</v>
      </c>
      <c r="B1" s="5"/>
      <c r="C1" s="5"/>
      <c r="D1" s="5"/>
      <c r="E1" s="5"/>
    </row>
    <row r="2" spans="1:5" ht="15" customHeight="1" x14ac:dyDescent="0.3">
      <c r="A2" s="4" t="s">
        <v>17</v>
      </c>
      <c r="B2" s="4"/>
      <c r="C2" s="4"/>
      <c r="D2" s="4"/>
      <c r="E2" s="4"/>
    </row>
    <row r="4" spans="1:5" ht="27.75" customHeight="1" x14ac:dyDescent="0.3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</row>
    <row r="5" spans="1:5" ht="15" customHeight="1" x14ac:dyDescent="0.3">
      <c r="A5" s="8" t="s">
        <v>23</v>
      </c>
      <c r="B5" s="9">
        <v>278453.62</v>
      </c>
      <c r="C5" s="9">
        <v>345966.97</v>
      </c>
      <c r="D5" s="9">
        <v>437927.77</v>
      </c>
      <c r="E5" s="9">
        <v>439695</v>
      </c>
    </row>
    <row r="6" spans="1:5" ht="15" customHeight="1" x14ac:dyDescent="0.3">
      <c r="A6" s="8" t="s">
        <v>24</v>
      </c>
      <c r="B6" s="9">
        <v>160920.56</v>
      </c>
      <c r="C6" s="9">
        <v>208944.31</v>
      </c>
      <c r="D6" s="9">
        <v>249277.79</v>
      </c>
      <c r="E6" s="9">
        <v>241148</v>
      </c>
    </row>
    <row r="7" spans="1:5" ht="15" customHeight="1" x14ac:dyDescent="0.3">
      <c r="A7" s="8" t="s">
        <v>25</v>
      </c>
      <c r="B7" s="9">
        <v>18374.77</v>
      </c>
      <c r="C7" s="9">
        <v>22306.95</v>
      </c>
      <c r="D7" s="9">
        <v>25043.439999999999</v>
      </c>
      <c r="E7" s="9">
        <v>27802</v>
      </c>
    </row>
    <row r="8" spans="1:5" ht="15" customHeight="1" x14ac:dyDescent="0.3">
      <c r="A8" s="8" t="s">
        <v>26</v>
      </c>
      <c r="B8" s="9">
        <v>1590.49</v>
      </c>
      <c r="C8" s="9">
        <v>-4781.62</v>
      </c>
      <c r="D8" s="9">
        <v>-1565.53</v>
      </c>
      <c r="E8" s="9">
        <v>2836</v>
      </c>
    </row>
    <row r="9" spans="1:5" ht="15" customHeight="1" x14ac:dyDescent="0.3">
      <c r="A9" s="8" t="s">
        <v>27</v>
      </c>
      <c r="B9" s="9">
        <v>30808.52</v>
      </c>
      <c r="C9" s="9">
        <v>33654.699999999997</v>
      </c>
      <c r="D9" s="9">
        <v>42486.64</v>
      </c>
      <c r="E9" s="9">
        <v>47767</v>
      </c>
    </row>
    <row r="10" spans="1:5" ht="15" customHeight="1" x14ac:dyDescent="0.3">
      <c r="A10" s="8" t="s">
        <v>28</v>
      </c>
      <c r="B10" s="9">
        <v>47133.85</v>
      </c>
      <c r="C10" s="9">
        <v>61785.96</v>
      </c>
      <c r="D10" s="9">
        <v>78874.98</v>
      </c>
      <c r="E10" s="9">
        <v>85399</v>
      </c>
    </row>
    <row r="11" spans="1:5" ht="15" customHeight="1" x14ac:dyDescent="0.3">
      <c r="A11" s="8" t="s">
        <v>29</v>
      </c>
      <c r="B11" s="9">
        <v>9209.5</v>
      </c>
      <c r="C11" s="9">
        <v>10661.96</v>
      </c>
      <c r="D11" s="9">
        <v>10958.72</v>
      </c>
      <c r="E11" s="9">
        <v>10716</v>
      </c>
    </row>
    <row r="12" spans="1:5" ht="15" customHeight="1" x14ac:dyDescent="0.3">
      <c r="A12" s="6" t="s">
        <v>30</v>
      </c>
      <c r="B12" s="10">
        <f>B5-B6-B7-B8-B9-B10-B11-B20</f>
        <v>24813.219999999987</v>
      </c>
      <c r="C12" s="10">
        <f>C5-C6-C7-C8-C9-C10-C11-C20</f>
        <v>31829.549999999977</v>
      </c>
      <c r="D12" s="10">
        <f>D5-D6-D7-D8-D9-D10-D11-D20</f>
        <v>59610.080000000009</v>
      </c>
      <c r="E12" s="10">
        <f>E5-E6-E7-E8-E9-E10-E11-E20</f>
        <v>55132</v>
      </c>
    </row>
    <row r="13" spans="1:5" ht="15" customHeight="1" x14ac:dyDescent="0.3">
      <c r="A13" s="8" t="s">
        <v>31</v>
      </c>
      <c r="B13" s="9">
        <v>24835.69</v>
      </c>
      <c r="C13" s="9">
        <v>24860.36</v>
      </c>
      <c r="D13" s="9">
        <v>27270.13</v>
      </c>
      <c r="E13" s="9">
        <v>23256</v>
      </c>
    </row>
    <row r="14" spans="1:5" ht="15" customHeight="1" x14ac:dyDescent="0.3">
      <c r="A14" s="6" t="s">
        <v>32</v>
      </c>
      <c r="B14" s="10">
        <f>B12-B13</f>
        <v>-22.470000000012078</v>
      </c>
      <c r="C14" s="10">
        <f>C12-C13</f>
        <v>6969.1899999999769</v>
      </c>
      <c r="D14" s="10">
        <f>D12-D13</f>
        <v>32339.950000000008</v>
      </c>
      <c r="E14" s="10">
        <f>E12-E13</f>
        <v>31876</v>
      </c>
    </row>
    <row r="15" spans="1:5" ht="15" customHeight="1" x14ac:dyDescent="0.3">
      <c r="A15" s="8" t="s">
        <v>33</v>
      </c>
      <c r="B15" s="9">
        <v>9311.86</v>
      </c>
      <c r="C15" s="9">
        <v>10225.48</v>
      </c>
      <c r="D15" s="9">
        <v>9985.76</v>
      </c>
      <c r="E15" s="9">
        <v>5083</v>
      </c>
    </row>
    <row r="16" spans="1:5" ht="15" customHeight="1" x14ac:dyDescent="0.3">
      <c r="A16" s="11" t="s">
        <v>34</v>
      </c>
      <c r="B16" s="12">
        <f>B14-B15</f>
        <v>-9334.3300000000127</v>
      </c>
      <c r="C16" s="12">
        <f>C14-C15</f>
        <v>-3256.2900000000227</v>
      </c>
      <c r="D16" s="12">
        <f>D14-D15</f>
        <v>22354.19000000001</v>
      </c>
      <c r="E16" s="12">
        <f>E14-E15</f>
        <v>26793</v>
      </c>
    </row>
    <row r="17" spans="1:5" ht="15" customHeight="1" x14ac:dyDescent="0.3">
      <c r="A17" s="8" t="s">
        <v>35</v>
      </c>
      <c r="B17" s="9">
        <v>4231.29</v>
      </c>
      <c r="C17" s="9">
        <v>704.06</v>
      </c>
      <c r="D17" s="9">
        <v>-3851.64</v>
      </c>
      <c r="E17" s="9">
        <v>10502</v>
      </c>
    </row>
    <row r="18" spans="1:5" ht="15" customHeight="1" x14ac:dyDescent="0.3">
      <c r="A18" s="11" t="s">
        <v>36</v>
      </c>
      <c r="B18" s="12">
        <f>B16-B17</f>
        <v>-13565.620000000014</v>
      </c>
      <c r="C18" s="12">
        <f>C16-C17</f>
        <v>-3960.3500000000226</v>
      </c>
      <c r="D18" s="12">
        <f>D16-D17</f>
        <v>26205.830000000009</v>
      </c>
      <c r="E18" s="12">
        <f>E16-E17</f>
        <v>16291</v>
      </c>
    </row>
    <row r="19" spans="1:5" ht="15" customHeight="1" x14ac:dyDescent="0.3">
      <c r="A19" s="8" t="s">
        <v>37</v>
      </c>
      <c r="B19" s="9">
        <v>-11308.76</v>
      </c>
      <c r="C19" s="9">
        <v>2689.87</v>
      </c>
      <c r="D19" s="9">
        <v>31806.75</v>
      </c>
      <c r="E19" s="9">
        <v>28149</v>
      </c>
    </row>
    <row r="20" spans="1:5" ht="23.25" customHeight="1" x14ac:dyDescent="0.3">
      <c r="A20" s="13" t="s">
        <v>38</v>
      </c>
      <c r="B20" s="9">
        <v>-14397.29</v>
      </c>
      <c r="C20" s="9">
        <v>-18434.84</v>
      </c>
      <c r="D20" s="9">
        <v>-26758.35</v>
      </c>
      <c r="E20" s="9">
        <v>-31105</v>
      </c>
    </row>
    <row r="21" spans="1:5" ht="15" customHeight="1" x14ac:dyDescent="0.3">
      <c r="A21" s="2" t="s">
        <v>39</v>
      </c>
      <c r="B21" s="2"/>
      <c r="C21" s="2"/>
      <c r="D21" s="2"/>
      <c r="E21" s="2"/>
    </row>
    <row r="22" spans="1:5" ht="15" customHeight="1" x14ac:dyDescent="0.3">
      <c r="A22" s="8" t="s">
        <v>40</v>
      </c>
      <c r="B22" s="9">
        <v>139677.04</v>
      </c>
      <c r="C22" s="9">
        <v>125660.47</v>
      </c>
      <c r="D22" s="9">
        <v>98500.09</v>
      </c>
      <c r="E22" s="9">
        <v>62499</v>
      </c>
    </row>
    <row r="23" spans="1:5" ht="15" customHeight="1" x14ac:dyDescent="0.3">
      <c r="A23" s="8" t="s">
        <v>41</v>
      </c>
      <c r="B23" s="9">
        <v>330619.93</v>
      </c>
      <c r="C23" s="9">
        <v>336081.38</v>
      </c>
      <c r="D23" s="9">
        <v>370663.96</v>
      </c>
      <c r="E23" s="9">
        <v>378642</v>
      </c>
    </row>
    <row r="24" spans="1:5" ht="15" customHeight="1" x14ac:dyDescent="0.3">
      <c r="A24" s="8" t="s">
        <v>42</v>
      </c>
      <c r="B24" s="9">
        <v>14282.83</v>
      </c>
      <c r="C24" s="9">
        <v>35388.01</v>
      </c>
      <c r="D24" s="9">
        <v>67915.360000000001</v>
      </c>
      <c r="E24" s="9">
        <v>63102</v>
      </c>
    </row>
    <row r="25" spans="1:5" ht="15" customHeight="1" x14ac:dyDescent="0.3">
      <c r="A25" s="8" t="s">
        <v>43</v>
      </c>
      <c r="B25" s="9">
        <v>15168.42</v>
      </c>
      <c r="C25" s="9">
        <v>18095.68</v>
      </c>
      <c r="D25" s="9">
        <v>31413.63</v>
      </c>
      <c r="E25" s="9">
        <v>38042</v>
      </c>
    </row>
    <row r="26" spans="1:5" ht="15" customHeight="1" x14ac:dyDescent="0.3">
      <c r="A26" s="6" t="s">
        <v>44</v>
      </c>
      <c r="B26" s="10">
        <f>B24-B25</f>
        <v>-885.59000000000015</v>
      </c>
      <c r="C26" s="10">
        <f>C24-C25</f>
        <v>17292.330000000002</v>
      </c>
      <c r="D26" s="10">
        <f>D24-D25</f>
        <v>36501.729999999996</v>
      </c>
      <c r="E26" s="10">
        <f>E24-E25</f>
        <v>25060</v>
      </c>
    </row>
    <row r="27" spans="1:5" ht="15" customHeight="1" x14ac:dyDescent="0.3">
      <c r="A27" s="8" t="s">
        <v>45</v>
      </c>
      <c r="B27" s="14">
        <f>B15/B22</f>
        <v>6.6667077137373479E-2</v>
      </c>
      <c r="C27" s="14">
        <f>C15/C22</f>
        <v>8.1373879948085495E-2</v>
      </c>
      <c r="D27" s="14">
        <f>D15/D22</f>
        <v>0.10137818148186464</v>
      </c>
      <c r="E27" s="14">
        <f>E15/E22</f>
        <v>8.1329301268820306E-2</v>
      </c>
    </row>
    <row r="28" spans="1:5" ht="15" customHeight="1" x14ac:dyDescent="0.3">
      <c r="A28" s="8" t="s">
        <v>46</v>
      </c>
      <c r="B28" s="14">
        <f>B12/B5</f>
        <v>8.9110782614354192E-2</v>
      </c>
      <c r="C28" s="14">
        <f>C12/C5</f>
        <v>9.2001701780953196E-2</v>
      </c>
      <c r="D28" s="14">
        <f>D12/D5</f>
        <v>0.13611852018427606</v>
      </c>
      <c r="E28" s="14">
        <f>E12/E5</f>
        <v>0.12538691593036083</v>
      </c>
    </row>
    <row r="29" spans="1:5" ht="15" customHeight="1" x14ac:dyDescent="0.3">
      <c r="A29" s="8" t="s">
        <v>47</v>
      </c>
      <c r="B29" s="15">
        <f>B22/B12</f>
        <v>5.6291380159447293</v>
      </c>
      <c r="C29" s="15">
        <f>C22/C12</f>
        <v>3.9479185222536946</v>
      </c>
      <c r="D29" s="15">
        <f>D22/D12</f>
        <v>1.6524066063994542</v>
      </c>
      <c r="E29" s="15">
        <f>E22/E12</f>
        <v>1.1336247551331351</v>
      </c>
    </row>
    <row r="31" spans="1:5" ht="15" customHeight="1" x14ac:dyDescent="0.3">
      <c r="A31" s="1" t="s">
        <v>48</v>
      </c>
      <c r="B31" s="1"/>
      <c r="C31" s="1"/>
      <c r="D31" s="1"/>
      <c r="E31" s="1"/>
    </row>
    <row r="32" spans="1:5" ht="15" customHeight="1" x14ac:dyDescent="0.3">
      <c r="A32" s="1"/>
      <c r="B32" s="1"/>
      <c r="C32" s="1"/>
      <c r="D32" s="1"/>
      <c r="E32" s="1"/>
    </row>
  </sheetData>
  <mergeCells count="4">
    <mergeCell ref="A1:E1"/>
    <mergeCell ref="A2:E2"/>
    <mergeCell ref="A21:E21"/>
    <mergeCell ref="A31:E3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zoomScaleNormal="100" workbookViewId="0">
      <selection activeCell="B12" sqref="B12"/>
    </sheetView>
  </sheetViews>
  <sheetFormatPr defaultColWidth="8.6640625" defaultRowHeight="14.4" x14ac:dyDescent="0.3"/>
  <cols>
    <col min="1" max="1" width="46" customWidth="1"/>
    <col min="2" max="4" width="15" customWidth="1"/>
  </cols>
  <sheetData>
    <row r="1" spans="1:4" ht="21.75" customHeight="1" x14ac:dyDescent="0.3">
      <c r="A1" s="5" t="s">
        <v>49</v>
      </c>
      <c r="B1" s="5"/>
      <c r="C1" s="5"/>
      <c r="D1" s="5"/>
    </row>
    <row r="2" spans="1:4" ht="15" customHeight="1" x14ac:dyDescent="0.3">
      <c r="A2" s="4" t="s">
        <v>50</v>
      </c>
      <c r="B2" s="4"/>
      <c r="C2" s="4"/>
      <c r="D2" s="4"/>
    </row>
    <row r="4" spans="1:4" ht="27.75" customHeight="1" x14ac:dyDescent="0.3">
      <c r="A4" s="7" t="s">
        <v>18</v>
      </c>
      <c r="B4" s="7" t="s">
        <v>20</v>
      </c>
      <c r="C4" s="7" t="s">
        <v>21</v>
      </c>
      <c r="D4" s="7" t="s">
        <v>22</v>
      </c>
    </row>
    <row r="5" spans="1:4" ht="15" customHeight="1" x14ac:dyDescent="0.3">
      <c r="A5" s="2" t="s">
        <v>51</v>
      </c>
      <c r="B5" s="2"/>
      <c r="C5" s="2"/>
      <c r="D5" s="2"/>
    </row>
    <row r="6" spans="1:4" ht="15" customHeight="1" x14ac:dyDescent="0.3">
      <c r="A6" s="8" t="s">
        <v>52</v>
      </c>
      <c r="B6" s="9">
        <v>69324.399999999994</v>
      </c>
      <c r="C6" s="9">
        <v>76961.19</v>
      </c>
      <c r="D6" s="9">
        <v>74049</v>
      </c>
    </row>
    <row r="7" spans="1:4" ht="15" customHeight="1" x14ac:dyDescent="0.3">
      <c r="A7" s="8" t="s">
        <v>53</v>
      </c>
      <c r="B7" s="9">
        <v>3693.28</v>
      </c>
      <c r="C7" s="9">
        <v>6483.46</v>
      </c>
      <c r="D7" s="9">
        <v>6814</v>
      </c>
    </row>
    <row r="8" spans="1:4" ht="15" customHeight="1" x14ac:dyDescent="0.3">
      <c r="A8" s="2" t="s">
        <v>54</v>
      </c>
      <c r="B8" s="2"/>
      <c r="C8" s="2"/>
      <c r="D8" s="2"/>
    </row>
    <row r="9" spans="1:4" ht="15" customHeight="1" x14ac:dyDescent="0.3">
      <c r="A9" s="8" t="s">
        <v>52</v>
      </c>
      <c r="B9" s="9">
        <v>45845.17</v>
      </c>
      <c r="C9" s="9">
        <v>50278.22</v>
      </c>
      <c r="D9" s="9">
        <v>47807</v>
      </c>
    </row>
    <row r="10" spans="1:4" ht="15" customHeight="1" x14ac:dyDescent="0.3">
      <c r="A10" s="8" t="s">
        <v>53</v>
      </c>
      <c r="B10" s="9">
        <v>542.16999999999996</v>
      </c>
      <c r="C10" s="9">
        <v>1015.8</v>
      </c>
      <c r="D10" s="9">
        <v>472</v>
      </c>
    </row>
    <row r="11" spans="1:4" ht="15" customHeight="1" x14ac:dyDescent="0.3">
      <c r="A11" s="2" t="s">
        <v>55</v>
      </c>
      <c r="B11" s="2"/>
      <c r="C11" s="2"/>
      <c r="D11" s="2"/>
    </row>
    <row r="12" spans="1:4" ht="15" customHeight="1" x14ac:dyDescent="0.3">
      <c r="A12" s="8" t="s">
        <v>52</v>
      </c>
      <c r="B12" s="9">
        <v>222845.42</v>
      </c>
      <c r="C12" s="9">
        <v>302755.82</v>
      </c>
      <c r="D12" s="9">
        <v>314032</v>
      </c>
    </row>
    <row r="13" spans="1:4" ht="15" customHeight="1" x14ac:dyDescent="0.3">
      <c r="A13" s="8" t="s">
        <v>53</v>
      </c>
      <c r="B13" s="9">
        <v>3481.69</v>
      </c>
      <c r="C13" s="9">
        <v>25381.9</v>
      </c>
      <c r="D13" s="9">
        <v>27764</v>
      </c>
    </row>
    <row r="14" spans="1:4" ht="15" customHeight="1" x14ac:dyDescent="0.3">
      <c r="A14" s="2" t="s">
        <v>56</v>
      </c>
      <c r="B14" s="2"/>
      <c r="C14" s="2"/>
      <c r="D14" s="2"/>
    </row>
    <row r="15" spans="1:4" ht="15" customHeight="1" x14ac:dyDescent="0.3">
      <c r="A15" s="8" t="s">
        <v>57</v>
      </c>
      <c r="B15" s="9">
        <v>7764.57</v>
      </c>
      <c r="C15" s="9">
        <v>7919.12</v>
      </c>
      <c r="D15" s="9">
        <v>3792</v>
      </c>
    </row>
    <row r="16" spans="1:4" ht="15" customHeight="1" x14ac:dyDescent="0.3">
      <c r="A16" s="8" t="s">
        <v>53</v>
      </c>
      <c r="B16" s="9">
        <v>-558.85</v>
      </c>
      <c r="C16" s="9">
        <v>71.05</v>
      </c>
      <c r="D16" s="9">
        <v>669</v>
      </c>
    </row>
    <row r="18" spans="1:4" ht="15" customHeight="1" x14ac:dyDescent="0.3">
      <c r="A18" s="6" t="s">
        <v>58</v>
      </c>
      <c r="B18" s="10">
        <f>B6+B9+B12+B15</f>
        <v>345779.56</v>
      </c>
      <c r="C18" s="10">
        <f>C6+C9+C12+C15</f>
        <v>437914.35</v>
      </c>
      <c r="D18" s="10">
        <f>D6+D9+D12+D15</f>
        <v>439680</v>
      </c>
    </row>
    <row r="20" spans="1:4" ht="15" customHeight="1" x14ac:dyDescent="0.3">
      <c r="A20" s="1" t="s">
        <v>59</v>
      </c>
      <c r="B20" s="1"/>
      <c r="C20" s="1"/>
      <c r="D20" s="1"/>
    </row>
    <row r="21" spans="1:4" ht="15" customHeight="1" x14ac:dyDescent="0.3">
      <c r="A21" s="1"/>
      <c r="B21" s="1"/>
      <c r="C21" s="1"/>
      <c r="D21" s="1"/>
    </row>
  </sheetData>
  <mergeCells count="7">
    <mergeCell ref="A14:D14"/>
    <mergeCell ref="A20:D21"/>
    <mergeCell ref="A1:D1"/>
    <mergeCell ref="A2:D2"/>
    <mergeCell ref="A5:D5"/>
    <mergeCell ref="A8:D8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showGridLines="0" tabSelected="1" zoomScale="83" zoomScaleNormal="100" workbookViewId="0">
      <selection activeCell="D7" sqref="D7"/>
    </sheetView>
  </sheetViews>
  <sheetFormatPr defaultColWidth="8.6640625" defaultRowHeight="14.4" x14ac:dyDescent="0.3"/>
  <cols>
    <col min="1" max="1" width="42" customWidth="1"/>
    <col min="2" max="5" width="16" customWidth="1"/>
  </cols>
  <sheetData>
    <row r="1" spans="1:5" ht="21.75" customHeight="1" x14ac:dyDescent="0.3">
      <c r="A1" s="5" t="s">
        <v>60</v>
      </c>
      <c r="B1" s="5"/>
      <c r="C1" s="5"/>
      <c r="D1" s="5"/>
      <c r="E1" s="5"/>
    </row>
    <row r="2" spans="1:5" ht="15" customHeight="1" x14ac:dyDescent="0.3">
      <c r="A2" s="4" t="s">
        <v>61</v>
      </c>
      <c r="B2" s="4"/>
      <c r="C2" s="4"/>
      <c r="D2" s="4"/>
      <c r="E2" s="4"/>
    </row>
    <row r="4" spans="1:5" ht="30" customHeight="1" x14ac:dyDescent="0.3">
      <c r="A4" s="7" t="s">
        <v>62</v>
      </c>
      <c r="B4" s="7" t="s">
        <v>63</v>
      </c>
      <c r="C4" s="7" t="s">
        <v>64</v>
      </c>
      <c r="D4" s="7" t="s">
        <v>65</v>
      </c>
      <c r="E4" s="7" t="s">
        <v>66</v>
      </c>
    </row>
    <row r="5" spans="1:5" ht="15" customHeight="1" x14ac:dyDescent="0.3">
      <c r="A5" s="2" t="s">
        <v>67</v>
      </c>
      <c r="B5" s="2"/>
      <c r="C5" s="2"/>
      <c r="D5" s="2"/>
      <c r="E5" s="2"/>
    </row>
    <row r="6" spans="1:5" ht="15" customHeight="1" x14ac:dyDescent="0.3">
      <c r="A6" s="13" t="s">
        <v>68</v>
      </c>
      <c r="B6" s="16">
        <v>0.05</v>
      </c>
      <c r="C6" s="16">
        <v>0.12</v>
      </c>
      <c r="D6" s="16">
        <v>-0.1</v>
      </c>
      <c r="E6" s="16">
        <v>-0.2</v>
      </c>
    </row>
    <row r="7" spans="1:5" ht="15" customHeight="1" x14ac:dyDescent="0.3">
      <c r="A7" s="13" t="s">
        <v>69</v>
      </c>
      <c r="B7" s="16">
        <v>0.05</v>
      </c>
      <c r="C7" s="16">
        <v>0.12</v>
      </c>
      <c r="D7" s="16">
        <v>-0.1</v>
      </c>
      <c r="E7" s="16">
        <v>-0.2</v>
      </c>
    </row>
    <row r="8" spans="1:5" ht="15" customHeight="1" x14ac:dyDescent="0.3">
      <c r="A8" s="13" t="s">
        <v>70</v>
      </c>
      <c r="B8" s="16">
        <v>0.05</v>
      </c>
      <c r="C8" s="16">
        <v>0.1</v>
      </c>
      <c r="D8" s="16">
        <v>-0.15</v>
      </c>
      <c r="E8" s="16">
        <v>-0.25</v>
      </c>
    </row>
    <row r="9" spans="1:5" ht="15" customHeight="1" x14ac:dyDescent="0.3">
      <c r="A9" s="13" t="s">
        <v>71</v>
      </c>
      <c r="B9" s="16">
        <v>0.05</v>
      </c>
      <c r="C9" s="16">
        <v>0.08</v>
      </c>
      <c r="D9" s="16">
        <v>-0.05</v>
      </c>
      <c r="E9" s="16">
        <v>-0.15</v>
      </c>
    </row>
    <row r="10" spans="1:5" ht="15" customHeight="1" x14ac:dyDescent="0.3">
      <c r="A10" s="2" t="s">
        <v>72</v>
      </c>
      <c r="B10" s="2"/>
      <c r="C10" s="2"/>
      <c r="D10" s="2"/>
      <c r="E10" s="2"/>
    </row>
    <row r="11" spans="1:5" ht="15" customHeight="1" x14ac:dyDescent="0.3">
      <c r="A11" s="13" t="s">
        <v>73</v>
      </c>
      <c r="B11" s="16">
        <v>0</v>
      </c>
      <c r="C11" s="16">
        <v>0.02</v>
      </c>
      <c r="D11" s="16">
        <v>-0.02</v>
      </c>
      <c r="E11" s="16">
        <v>-0.05</v>
      </c>
    </row>
    <row r="12" spans="1:5" ht="15" customHeight="1" x14ac:dyDescent="0.3">
      <c r="A12" s="2" t="s">
        <v>74</v>
      </c>
      <c r="B12" s="2"/>
      <c r="C12" s="2"/>
      <c r="D12" s="2"/>
      <c r="E12" s="2"/>
    </row>
    <row r="13" spans="1:5" ht="15" customHeight="1" x14ac:dyDescent="0.3">
      <c r="A13" s="13" t="s">
        <v>75</v>
      </c>
      <c r="B13" s="16">
        <v>0.54800000000000004</v>
      </c>
      <c r="C13" s="16">
        <v>0.53800000000000003</v>
      </c>
      <c r="D13" s="16">
        <v>0.56799999999999995</v>
      </c>
      <c r="E13" s="16">
        <v>0.59799999999999998</v>
      </c>
    </row>
    <row r="14" spans="1:5" ht="15" customHeight="1" x14ac:dyDescent="0.3">
      <c r="A14" s="13" t="s">
        <v>76</v>
      </c>
      <c r="B14" s="16">
        <v>0.08</v>
      </c>
      <c r="C14" s="16">
        <v>0.08</v>
      </c>
      <c r="D14" s="16">
        <v>0.06</v>
      </c>
      <c r="E14" s="16">
        <v>0.03</v>
      </c>
    </row>
    <row r="15" spans="1:5" ht="15" customHeight="1" x14ac:dyDescent="0.3">
      <c r="A15" s="13" t="s">
        <v>77</v>
      </c>
      <c r="B15" s="16">
        <v>0.08</v>
      </c>
      <c r="C15" s="16">
        <v>0.08</v>
      </c>
      <c r="D15" s="16">
        <v>0.06</v>
      </c>
      <c r="E15" s="16">
        <v>0.03</v>
      </c>
    </row>
    <row r="16" spans="1:5" ht="15" customHeight="1" x14ac:dyDescent="0.3">
      <c r="A16" s="13" t="s">
        <v>78</v>
      </c>
      <c r="B16" s="16">
        <v>0.02</v>
      </c>
      <c r="C16" s="16">
        <v>0.02</v>
      </c>
      <c r="D16" s="16">
        <v>0</v>
      </c>
      <c r="E16" s="16">
        <v>-0.02</v>
      </c>
    </row>
    <row r="17" spans="1:5" ht="15" customHeight="1" x14ac:dyDescent="0.3">
      <c r="A17" s="2" t="s">
        <v>79</v>
      </c>
      <c r="B17" s="2"/>
      <c r="C17" s="2"/>
      <c r="D17" s="2"/>
      <c r="E17" s="2"/>
    </row>
    <row r="18" spans="1:5" ht="15" customHeight="1" x14ac:dyDescent="0.3">
      <c r="A18" s="13" t="s">
        <v>80</v>
      </c>
      <c r="B18" s="16">
        <v>8.1000000000000003E-2</v>
      </c>
      <c r="C18" s="16">
        <v>8.1000000000000003E-2</v>
      </c>
      <c r="D18" s="16">
        <v>9.5000000000000001E-2</v>
      </c>
      <c r="E18" s="16">
        <v>0.11</v>
      </c>
    </row>
    <row r="19" spans="1:5" ht="15" customHeight="1" x14ac:dyDescent="0.3">
      <c r="A19" s="13" t="s">
        <v>81</v>
      </c>
      <c r="B19" s="16">
        <v>0.25</v>
      </c>
      <c r="C19" s="16">
        <v>0.25</v>
      </c>
      <c r="D19" s="16">
        <v>0.25</v>
      </c>
      <c r="E19" s="16">
        <v>0.25</v>
      </c>
    </row>
    <row r="20" spans="1:5" ht="15" customHeight="1" x14ac:dyDescent="0.3">
      <c r="A20" s="13" t="s">
        <v>82</v>
      </c>
      <c r="B20" s="16">
        <v>0.05</v>
      </c>
      <c r="C20" s="16">
        <v>0.1</v>
      </c>
      <c r="D20" s="16">
        <v>-0.1</v>
      </c>
      <c r="E20" s="16">
        <v>-0.25</v>
      </c>
    </row>
    <row r="21" spans="1:5" ht="23.25" customHeight="1" x14ac:dyDescent="0.3">
      <c r="A21" s="13" t="s">
        <v>83</v>
      </c>
      <c r="B21" s="16">
        <v>7.0000000000000007E-2</v>
      </c>
      <c r="C21" s="16">
        <v>7.4999999999999997E-2</v>
      </c>
      <c r="D21" s="16">
        <v>0.05</v>
      </c>
      <c r="E21" s="16">
        <v>0.03</v>
      </c>
    </row>
    <row r="22" spans="1:5" ht="15" customHeight="1" x14ac:dyDescent="0.3">
      <c r="A22" s="1" t="s">
        <v>84</v>
      </c>
      <c r="B22" s="1"/>
      <c r="C22" s="1"/>
      <c r="D22" s="1"/>
      <c r="E22" s="1"/>
    </row>
    <row r="23" spans="1:5" ht="15" customHeight="1" x14ac:dyDescent="0.3">
      <c r="A23" s="1"/>
      <c r="B23" s="1"/>
      <c r="C23" s="1"/>
      <c r="D23" s="1"/>
      <c r="E23" s="1"/>
    </row>
  </sheetData>
  <mergeCells count="7">
    <mergeCell ref="A17:E17"/>
    <mergeCell ref="A22:E23"/>
    <mergeCell ref="A1:E1"/>
    <mergeCell ref="A2:E2"/>
    <mergeCell ref="A5:E5"/>
    <mergeCell ref="A10:E10"/>
    <mergeCell ref="A12:E1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showGridLines="0" zoomScale="69" zoomScaleNormal="100" workbookViewId="0">
      <selection activeCell="E34" sqref="E34"/>
    </sheetView>
  </sheetViews>
  <sheetFormatPr defaultColWidth="8.6640625" defaultRowHeight="14.4" x14ac:dyDescent="0.3"/>
  <cols>
    <col min="1" max="1" width="44" customWidth="1"/>
    <col min="2" max="5" width="17" customWidth="1"/>
  </cols>
  <sheetData>
    <row r="1" spans="1:5" ht="21.75" customHeight="1" x14ac:dyDescent="0.3">
      <c r="A1" s="5" t="s">
        <v>85</v>
      </c>
      <c r="B1" s="5"/>
      <c r="C1" s="5"/>
      <c r="D1" s="5"/>
      <c r="E1" s="5"/>
    </row>
    <row r="2" spans="1:5" ht="15" customHeight="1" x14ac:dyDescent="0.3">
      <c r="A2" s="4" t="s">
        <v>86</v>
      </c>
      <c r="B2" s="4"/>
      <c r="C2" s="4"/>
      <c r="D2" s="4"/>
      <c r="E2" s="4"/>
    </row>
    <row r="4" spans="1:5" ht="27.75" customHeight="1" x14ac:dyDescent="0.3">
      <c r="A4" s="7" t="s">
        <v>87</v>
      </c>
      <c r="B4" s="17" t="s">
        <v>63</v>
      </c>
      <c r="C4" s="18" t="s">
        <v>64</v>
      </c>
      <c r="D4" s="19" t="s">
        <v>65</v>
      </c>
      <c r="E4" s="20" t="s">
        <v>66</v>
      </c>
    </row>
    <row r="5" spans="1:5" ht="15" customHeight="1" x14ac:dyDescent="0.3">
      <c r="A5" s="2" t="s">
        <v>88</v>
      </c>
      <c r="B5" s="2"/>
      <c r="C5" s="2"/>
      <c r="D5" s="2"/>
      <c r="E5" s="2"/>
    </row>
    <row r="6" spans="1:5" ht="15" customHeight="1" x14ac:dyDescent="0.3">
      <c r="A6" s="8" t="s">
        <v>89</v>
      </c>
      <c r="B6" s="21">
        <f>'Segment Data'!$D6*(1+Assumptions!B6)*(1+Assumptions!B11)</f>
        <v>77751.45</v>
      </c>
      <c r="C6" s="21">
        <f>'Segment Data'!$D6*(1+Assumptions!C6)*(1+Assumptions!C11)</f>
        <v>84593.577600000004</v>
      </c>
      <c r="D6" s="21">
        <f>'Segment Data'!$D6*(1+Assumptions!D6)*(1+Assumptions!D11)</f>
        <v>65311.218000000008</v>
      </c>
      <c r="E6" s="21">
        <f>'Segment Data'!$D6*(1+Assumptions!E6)*(1+Assumptions!E11)</f>
        <v>56277.24</v>
      </c>
    </row>
    <row r="7" spans="1:5" ht="15" customHeight="1" x14ac:dyDescent="0.3">
      <c r="A7" s="8" t="s">
        <v>90</v>
      </c>
      <c r="B7" s="21">
        <f>'Segment Data'!$D9*(1+Assumptions!B7)*(1+Assumptions!B11)</f>
        <v>50197.35</v>
      </c>
      <c r="C7" s="21">
        <f>'Segment Data'!$D9*(1+Assumptions!C7)*(1+Assumptions!C11)</f>
        <v>54614.716800000002</v>
      </c>
      <c r="D7" s="21">
        <f>'Segment Data'!$D9*(1+Assumptions!D7)*(1+Assumptions!D11)</f>
        <v>42165.774000000005</v>
      </c>
      <c r="E7" s="21">
        <f>'Segment Data'!$D9*(1+Assumptions!E7)*(1+Assumptions!E11)</f>
        <v>36333.32</v>
      </c>
    </row>
    <row r="8" spans="1:5" ht="15" customHeight="1" x14ac:dyDescent="0.3">
      <c r="A8" s="8" t="s">
        <v>91</v>
      </c>
      <c r="B8" s="21">
        <f>'Segment Data'!$D12*(1+Assumptions!B8)*(1+Assumptions!B11)</f>
        <v>329733.60000000003</v>
      </c>
      <c r="C8" s="21">
        <f>'Segment Data'!$D12*(1+Assumptions!C8)*(1+Assumptions!C11)</f>
        <v>352343.90400000004</v>
      </c>
      <c r="D8" s="21">
        <f>'Segment Data'!$D12*(1+Assumptions!D8)*(1+Assumptions!D11)</f>
        <v>261588.65600000002</v>
      </c>
      <c r="E8" s="21">
        <f>'Segment Data'!$D12*(1+Assumptions!E8)*(1+Assumptions!E11)</f>
        <v>223747.8</v>
      </c>
    </row>
    <row r="9" spans="1:5" ht="15" customHeight="1" x14ac:dyDescent="0.3">
      <c r="A9" s="8" t="s">
        <v>92</v>
      </c>
      <c r="B9" s="21">
        <f>'Segment Data'!$D15*(1+Assumptions!B9)</f>
        <v>3981.6000000000004</v>
      </c>
      <c r="C9" s="21">
        <f>'Segment Data'!$D15*(1+Assumptions!C9)</f>
        <v>4095.36</v>
      </c>
      <c r="D9" s="21">
        <f>'Segment Data'!$D15*(1+Assumptions!D9)</f>
        <v>3602.3999999999996</v>
      </c>
      <c r="E9" s="21">
        <f>'Segment Data'!$D15*(1+Assumptions!E9)</f>
        <v>3223.2</v>
      </c>
    </row>
    <row r="10" spans="1:5" ht="15" customHeight="1" x14ac:dyDescent="0.3">
      <c r="A10" s="6" t="s">
        <v>93</v>
      </c>
      <c r="B10" s="22">
        <f>SUM(B6:B9)</f>
        <v>461664</v>
      </c>
      <c r="C10" s="22">
        <f>SUM(C6:C9)</f>
        <v>495647.55840000004</v>
      </c>
      <c r="D10" s="22">
        <f>SUM(D6:D9)</f>
        <v>372668.04800000007</v>
      </c>
      <c r="E10" s="22">
        <f>SUM(E6:E9)</f>
        <v>319581.56</v>
      </c>
    </row>
    <row r="12" spans="1:5" ht="15" customHeight="1" x14ac:dyDescent="0.3">
      <c r="A12" s="2" t="s">
        <v>94</v>
      </c>
      <c r="B12" s="2"/>
      <c r="C12" s="2"/>
      <c r="D12" s="2"/>
      <c r="E12" s="2"/>
    </row>
    <row r="13" spans="1:5" ht="15" customHeight="1" x14ac:dyDescent="0.3">
      <c r="A13" s="8" t="s">
        <v>95</v>
      </c>
      <c r="B13" s="21">
        <f>B10*Assumptions!B13</f>
        <v>252991.87200000003</v>
      </c>
      <c r="C13" s="21">
        <f>C10*Assumptions!C13</f>
        <v>266658.38641920005</v>
      </c>
      <c r="D13" s="21">
        <f>D10*Assumptions!D13</f>
        <v>211675.45126400003</v>
      </c>
      <c r="E13" s="21">
        <f>E10*Assumptions!E13</f>
        <v>191109.77288</v>
      </c>
    </row>
    <row r="14" spans="1:5" ht="15" customHeight="1" x14ac:dyDescent="0.3">
      <c r="A14" s="8" t="s">
        <v>96</v>
      </c>
      <c r="B14" s="21">
        <f>Historicals!$E$9*(1+Assumptions!B14)</f>
        <v>51588.36</v>
      </c>
      <c r="C14" s="21">
        <f>Historicals!$E$9*(1+Assumptions!C14)</f>
        <v>51588.36</v>
      </c>
      <c r="D14" s="21">
        <f>Historicals!$E$9*(1+Assumptions!D14)</f>
        <v>50633.020000000004</v>
      </c>
      <c r="E14" s="21">
        <f>Historicals!$E$9*(1+Assumptions!E14)</f>
        <v>49200.01</v>
      </c>
    </row>
    <row r="15" spans="1:5" ht="15" customHeight="1" x14ac:dyDescent="0.3">
      <c r="A15" s="13" t="s">
        <v>97</v>
      </c>
      <c r="B15" s="21">
        <f>(Historicals!$E$7+Historicals!$E$8+Historicals!$E$10+Historicals!$E$11)*(1+Assumptions!B15)-B10*Assumptions!B21</f>
        <v>104576.76000000001</v>
      </c>
      <c r="C15" s="21">
        <f>(Historicals!$E$7+Historicals!$E$8+Historicals!$E$10+Historicals!$E$11)*(1+Assumptions!C15)-C10*Assumptions!C21</f>
        <v>99719.673120000021</v>
      </c>
      <c r="D15" s="21">
        <f>(Historicals!$E$7+Historicals!$E$8+Historicals!$E$10+Historicals!$E$11)*(1+Assumptions!D15)-D10*Assumptions!D21</f>
        <v>115724.77759999999</v>
      </c>
      <c r="E15" s="21">
        <f>(Historicals!$E$7+Historicals!$E$8+Historicals!$E$10+Historicals!$E$11)*(1+Assumptions!E15)-E10*Assumptions!E21</f>
        <v>120968.14319999999</v>
      </c>
    </row>
    <row r="16" spans="1:5" ht="15" customHeight="1" x14ac:dyDescent="0.3">
      <c r="A16" s="6" t="s">
        <v>30</v>
      </c>
      <c r="B16" s="22">
        <f>B10-B13-B14-B15</f>
        <v>52507.007999999973</v>
      </c>
      <c r="C16" s="22">
        <f>C10-C13-C14-C15</f>
        <v>77681.138860799983</v>
      </c>
      <c r="D16" s="22">
        <f>D10-D13-D14-D15</f>
        <v>-5365.2008639999549</v>
      </c>
      <c r="E16" s="22">
        <f>E10-E13-E14-E15</f>
        <v>-41696.366080000007</v>
      </c>
    </row>
    <row r="17" spans="1:5" ht="15" customHeight="1" x14ac:dyDescent="0.3">
      <c r="A17" s="8" t="s">
        <v>98</v>
      </c>
      <c r="B17" s="14">
        <f>B16/B10</f>
        <v>0.11373424828446657</v>
      </c>
      <c r="C17" s="14">
        <f>C16/C10</f>
        <v>0.15672656415692326</v>
      </c>
      <c r="D17" s="14">
        <f>D16/D10</f>
        <v>-1.4396728919459052E-2</v>
      </c>
      <c r="E17" s="14">
        <f>E16/E10</f>
        <v>-0.1304717521248723</v>
      </c>
    </row>
    <row r="19" spans="1:5" ht="15" customHeight="1" x14ac:dyDescent="0.3">
      <c r="A19" s="2" t="s">
        <v>99</v>
      </c>
      <c r="B19" s="2"/>
      <c r="C19" s="2"/>
      <c r="D19" s="2"/>
      <c r="E19" s="2"/>
    </row>
    <row r="20" spans="1:5" ht="15" customHeight="1" x14ac:dyDescent="0.3">
      <c r="A20" s="8" t="s">
        <v>100</v>
      </c>
      <c r="B20" s="21">
        <f>Historicals!$E$13*(1+Assumptions!B16)</f>
        <v>23721.119999999999</v>
      </c>
      <c r="C20" s="21">
        <f>Historicals!$E$13*(1+Assumptions!C16)</f>
        <v>23721.119999999999</v>
      </c>
      <c r="D20" s="21">
        <f>Historicals!$E$13*(1+Assumptions!D16)</f>
        <v>23256</v>
      </c>
      <c r="E20" s="21">
        <f>Historicals!$E$13*(1+Assumptions!E16)</f>
        <v>22790.880000000001</v>
      </c>
    </row>
    <row r="21" spans="1:5" ht="15" customHeight="1" x14ac:dyDescent="0.3">
      <c r="A21" s="6" t="s">
        <v>32</v>
      </c>
      <c r="B21" s="22">
        <f>B16-B20</f>
        <v>28785.887999999974</v>
      </c>
      <c r="C21" s="22">
        <f>C16-C20</f>
        <v>53960.018860799988</v>
      </c>
      <c r="D21" s="22">
        <f>D16-D20</f>
        <v>-28621.200863999955</v>
      </c>
      <c r="E21" s="22">
        <f>E16-E20</f>
        <v>-64487.246080000012</v>
      </c>
    </row>
    <row r="22" spans="1:5" ht="15" customHeight="1" x14ac:dyDescent="0.3">
      <c r="A22" s="8" t="s">
        <v>101</v>
      </c>
      <c r="B22" s="21">
        <f>Historicals!$E$22</f>
        <v>62499</v>
      </c>
      <c r="C22" s="21">
        <f>Historicals!$E$22</f>
        <v>62499</v>
      </c>
      <c r="D22" s="21">
        <f>Historicals!$E$22</f>
        <v>62499</v>
      </c>
      <c r="E22" s="21">
        <f>Historicals!$E$22</f>
        <v>62499</v>
      </c>
    </row>
    <row r="23" spans="1:5" ht="15" customHeight="1" x14ac:dyDescent="0.3">
      <c r="A23" s="8" t="s">
        <v>102</v>
      </c>
      <c r="B23" s="21">
        <f>B22*Assumptions!B18</f>
        <v>5062.4189999999999</v>
      </c>
      <c r="C23" s="21">
        <f>C22*Assumptions!C18</f>
        <v>5062.4189999999999</v>
      </c>
      <c r="D23" s="21">
        <f>D22*Assumptions!D18</f>
        <v>5937.4049999999997</v>
      </c>
      <c r="E23" s="21">
        <f>E22*Assumptions!E18</f>
        <v>6874.89</v>
      </c>
    </row>
    <row r="24" spans="1:5" ht="15" customHeight="1" x14ac:dyDescent="0.3">
      <c r="A24" s="6" t="s">
        <v>103</v>
      </c>
      <c r="B24" s="22">
        <f>B21-B23</f>
        <v>23723.468999999975</v>
      </c>
      <c r="C24" s="22">
        <f>C21-C23</f>
        <v>48897.599860799986</v>
      </c>
      <c r="D24" s="22">
        <f>D21-D23</f>
        <v>-34558.605863999954</v>
      </c>
      <c r="E24" s="22">
        <f>E21-E23</f>
        <v>-71362.136080000011</v>
      </c>
    </row>
    <row r="25" spans="1:5" ht="15" customHeight="1" x14ac:dyDescent="0.3">
      <c r="A25" s="8" t="s">
        <v>104</v>
      </c>
      <c r="B25" s="21">
        <f>MAX(B24,0)*Assumptions!B19</f>
        <v>5930.8672499999939</v>
      </c>
      <c r="C25" s="21">
        <f>MAX(C24,0)*Assumptions!C19</f>
        <v>12224.399965199997</v>
      </c>
      <c r="D25" s="21">
        <f>MAX(D24,0)*Assumptions!D19</f>
        <v>0</v>
      </c>
      <c r="E25" s="21">
        <f>MAX(E24,0)*Assumptions!E19</f>
        <v>0</v>
      </c>
    </row>
    <row r="26" spans="1:5" ht="15" customHeight="1" x14ac:dyDescent="0.3">
      <c r="A26" s="6" t="s">
        <v>105</v>
      </c>
      <c r="B26" s="22">
        <f>B24-B25</f>
        <v>17792.60174999998</v>
      </c>
      <c r="C26" s="22">
        <f>C24-C25</f>
        <v>36673.199895599988</v>
      </c>
      <c r="D26" s="22">
        <f>D24-D25</f>
        <v>-34558.605863999954</v>
      </c>
      <c r="E26" s="22">
        <f>E24-E25</f>
        <v>-71362.136080000011</v>
      </c>
    </row>
    <row r="27" spans="1:5" ht="15" customHeight="1" x14ac:dyDescent="0.3">
      <c r="A27" s="8" t="s">
        <v>106</v>
      </c>
      <c r="B27" s="14">
        <f>B26/B10</f>
        <v>3.8540154203056724E-2</v>
      </c>
      <c r="C27" s="14">
        <f>C26/C10</f>
        <v>7.3990478262386181E-2</v>
      </c>
      <c r="D27" s="14">
        <f>D26/D10</f>
        <v>-9.2732945712587486E-2</v>
      </c>
      <c r="E27" s="14">
        <f>E26/E10</f>
        <v>-0.22329866616834843</v>
      </c>
    </row>
    <row r="28" spans="1:5" ht="15" customHeight="1" x14ac:dyDescent="0.3">
      <c r="A28" s="8" t="s">
        <v>107</v>
      </c>
      <c r="B28" s="15">
        <f>B21/B23</f>
        <v>5.6861923124103271</v>
      </c>
      <c r="C28" s="15">
        <f>C21/C23</f>
        <v>10.658939700724098</v>
      </c>
      <c r="D28" s="15">
        <f>D21/D23</f>
        <v>-4.8204899049332086</v>
      </c>
      <c r="E28" s="15">
        <f>E21/E23</f>
        <v>-9.3801131479921871</v>
      </c>
    </row>
    <row r="30" spans="1:5" ht="15" customHeight="1" x14ac:dyDescent="0.3">
      <c r="A30" s="2" t="s">
        <v>108</v>
      </c>
      <c r="B30" s="2"/>
      <c r="C30" s="2"/>
      <c r="D30" s="2"/>
      <c r="E30" s="2"/>
    </row>
    <row r="31" spans="1:5" ht="15" customHeight="1" x14ac:dyDescent="0.3">
      <c r="A31" s="8" t="s">
        <v>109</v>
      </c>
      <c r="B31" s="12">
        <f>B26+B20</f>
        <v>41513.721749999982</v>
      </c>
      <c r="C31" s="12">
        <f>C26+C20</f>
        <v>60394.319895599983</v>
      </c>
      <c r="D31" s="12">
        <f>D26+D20</f>
        <v>-11302.605863999954</v>
      </c>
      <c r="E31" s="12">
        <f>E26+E20</f>
        <v>-48571.256080000006</v>
      </c>
    </row>
    <row r="32" spans="1:5" ht="15" customHeight="1" x14ac:dyDescent="0.3">
      <c r="A32" s="8" t="s">
        <v>110</v>
      </c>
      <c r="B32" s="21">
        <f>Historicals!$E$25*(1+Assumptions!B20)</f>
        <v>39944.1</v>
      </c>
      <c r="C32" s="21">
        <f>Historicals!$E$25*(1+Assumptions!C20)</f>
        <v>41846.200000000004</v>
      </c>
      <c r="D32" s="21">
        <f>Historicals!$E$25*(1+Assumptions!D20)</f>
        <v>34237.800000000003</v>
      </c>
      <c r="E32" s="21">
        <f>Historicals!$E$25*(1+Assumptions!E20)</f>
        <v>28531.5</v>
      </c>
    </row>
    <row r="33" spans="1:5" ht="15" customHeight="1" x14ac:dyDescent="0.3">
      <c r="A33" s="6" t="s">
        <v>44</v>
      </c>
      <c r="B33" s="22">
        <f>B31-B32</f>
        <v>1569.6217499999839</v>
      </c>
      <c r="C33" s="22">
        <f>C31-C32</f>
        <v>18548.119895599979</v>
      </c>
      <c r="D33" s="22">
        <f>D31-D32</f>
        <v>-45540.405863999957</v>
      </c>
      <c r="E33" s="22">
        <f>E31-E32</f>
        <v>-77102.756080000006</v>
      </c>
    </row>
    <row r="34" spans="1:5" ht="15" customHeight="1" x14ac:dyDescent="0.3">
      <c r="A34" s="8" t="s">
        <v>47</v>
      </c>
      <c r="B34" s="15">
        <f>B22/B16</f>
        <v>1.1902982550443559</v>
      </c>
      <c r="C34" s="15">
        <f>C22/C16</f>
        <v>0.80455823532652526</v>
      </c>
      <c r="D34" s="15">
        <f>D22/D16</f>
        <v>-11.648958088291348</v>
      </c>
      <c r="E34" s="15">
        <f>E22/E16</f>
        <v>-1.4989075997675045</v>
      </c>
    </row>
    <row r="36" spans="1:5" ht="15" customHeight="1" x14ac:dyDescent="0.3">
      <c r="A36" s="1" t="s">
        <v>111</v>
      </c>
      <c r="B36" s="1"/>
      <c r="C36" s="1"/>
      <c r="D36" s="1"/>
      <c r="E36" s="1"/>
    </row>
    <row r="37" spans="1:5" ht="15" customHeight="1" x14ac:dyDescent="0.3">
      <c r="A37" s="1"/>
      <c r="B37" s="1"/>
      <c r="C37" s="1"/>
      <c r="D37" s="1"/>
      <c r="E37" s="1"/>
    </row>
  </sheetData>
  <mergeCells count="7">
    <mergeCell ref="A30:E30"/>
    <mergeCell ref="A36:E37"/>
    <mergeCell ref="A1:E1"/>
    <mergeCell ref="A2:E2"/>
    <mergeCell ref="A5:E5"/>
    <mergeCell ref="A12:E12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showGridLines="0" zoomScale="76" zoomScaleNormal="100" workbookViewId="0">
      <selection activeCell="E25" sqref="E25"/>
    </sheetView>
  </sheetViews>
  <sheetFormatPr defaultColWidth="8.6640625" defaultRowHeight="14.4" x14ac:dyDescent="0.3"/>
  <cols>
    <col min="1" max="1" width="40" customWidth="1"/>
    <col min="2" max="5" width="18" customWidth="1"/>
  </cols>
  <sheetData>
    <row r="1" spans="1:5" ht="21.75" customHeight="1" x14ac:dyDescent="0.3">
      <c r="A1" s="5" t="s">
        <v>112</v>
      </c>
      <c r="B1" s="5"/>
      <c r="C1" s="5"/>
      <c r="D1" s="5"/>
      <c r="E1" s="5"/>
    </row>
    <row r="2" spans="1:5" ht="15" customHeight="1" x14ac:dyDescent="0.3">
      <c r="A2" s="4" t="s">
        <v>113</v>
      </c>
      <c r="B2" s="4"/>
      <c r="C2" s="4"/>
      <c r="D2" s="4"/>
      <c r="E2" s="4"/>
    </row>
    <row r="4" spans="1:5" ht="27.75" customHeight="1" x14ac:dyDescent="0.3">
      <c r="A4" s="7" t="s">
        <v>114</v>
      </c>
      <c r="B4" s="7" t="s">
        <v>63</v>
      </c>
      <c r="C4" s="7" t="s">
        <v>64</v>
      </c>
      <c r="D4" s="7" t="s">
        <v>65</v>
      </c>
      <c r="E4" s="7" t="s">
        <v>66</v>
      </c>
    </row>
    <row r="5" spans="1:5" ht="15" customHeight="1" x14ac:dyDescent="0.3">
      <c r="A5" s="8" t="s">
        <v>115</v>
      </c>
      <c r="B5" s="21">
        <f>'Scenario Model'!B10</f>
        <v>461664</v>
      </c>
      <c r="C5" s="21">
        <f>'Scenario Model'!C10</f>
        <v>495647.55840000004</v>
      </c>
      <c r="D5" s="21">
        <f>'Scenario Model'!D10</f>
        <v>372668.04800000007</v>
      </c>
      <c r="E5" s="21">
        <f>'Scenario Model'!E10</f>
        <v>319581.56</v>
      </c>
    </row>
    <row r="6" spans="1:5" ht="15" customHeight="1" x14ac:dyDescent="0.3">
      <c r="A6" s="8" t="s">
        <v>116</v>
      </c>
      <c r="B6" s="21">
        <f>'Scenario Model'!B16</f>
        <v>52507.007999999973</v>
      </c>
      <c r="C6" s="21">
        <f>'Scenario Model'!C16</f>
        <v>77681.138860799983</v>
      </c>
      <c r="D6" s="21">
        <f>'Scenario Model'!D16</f>
        <v>-5365.2008639999549</v>
      </c>
      <c r="E6" s="21">
        <f>'Scenario Model'!E16</f>
        <v>-41696.366080000007</v>
      </c>
    </row>
    <row r="7" spans="1:5" ht="15" customHeight="1" x14ac:dyDescent="0.3">
      <c r="A7" s="8" t="s">
        <v>46</v>
      </c>
      <c r="B7" s="23">
        <f>'Scenario Model'!B17</f>
        <v>0.11373424828446657</v>
      </c>
      <c r="C7" s="23">
        <f>'Scenario Model'!C17</f>
        <v>0.15672656415692326</v>
      </c>
      <c r="D7" s="23">
        <f>'Scenario Model'!D17</f>
        <v>-1.4396728919459052E-2</v>
      </c>
      <c r="E7" s="23">
        <f>'Scenario Model'!E17</f>
        <v>-0.1304717521248723</v>
      </c>
    </row>
    <row r="8" spans="1:5" ht="15" customHeight="1" x14ac:dyDescent="0.3">
      <c r="A8" s="8" t="s">
        <v>117</v>
      </c>
      <c r="B8" s="21">
        <f>'Scenario Model'!B21</f>
        <v>28785.887999999974</v>
      </c>
      <c r="C8" s="21">
        <f>'Scenario Model'!C21</f>
        <v>53960.018860799988</v>
      </c>
      <c r="D8" s="21">
        <f>'Scenario Model'!D21</f>
        <v>-28621.200863999955</v>
      </c>
      <c r="E8" s="21">
        <f>'Scenario Model'!E21</f>
        <v>-64487.246080000012</v>
      </c>
    </row>
    <row r="9" spans="1:5" ht="15" customHeight="1" x14ac:dyDescent="0.3">
      <c r="A9" s="8" t="s">
        <v>118</v>
      </c>
      <c r="B9" s="21">
        <f>'Scenario Model'!B26</f>
        <v>17792.60174999998</v>
      </c>
      <c r="C9" s="21">
        <f>'Scenario Model'!C26</f>
        <v>36673.199895599988</v>
      </c>
      <c r="D9" s="21">
        <f>'Scenario Model'!D26</f>
        <v>-34558.605863999954</v>
      </c>
      <c r="E9" s="21">
        <f>'Scenario Model'!E26</f>
        <v>-71362.136080000011</v>
      </c>
    </row>
    <row r="10" spans="1:5" ht="15" customHeight="1" x14ac:dyDescent="0.3">
      <c r="A10" s="8" t="s">
        <v>119</v>
      </c>
      <c r="B10" s="23">
        <f>'Scenario Model'!B27</f>
        <v>3.8540154203056724E-2</v>
      </c>
      <c r="C10" s="23">
        <f>'Scenario Model'!C27</f>
        <v>7.3990478262386181E-2</v>
      </c>
      <c r="D10" s="23">
        <f>'Scenario Model'!D27</f>
        <v>-9.2732945712587486E-2</v>
      </c>
      <c r="E10" s="23">
        <f>'Scenario Model'!E27</f>
        <v>-0.22329866616834843</v>
      </c>
    </row>
    <row r="11" spans="1:5" ht="15" customHeight="1" x14ac:dyDescent="0.3">
      <c r="A11" s="8" t="s">
        <v>120</v>
      </c>
      <c r="B11" s="24">
        <f>'Scenario Model'!B28</f>
        <v>5.6861923124103271</v>
      </c>
      <c r="C11" s="24">
        <f>'Scenario Model'!C28</f>
        <v>10.658939700724098</v>
      </c>
      <c r="D11" s="24">
        <f>'Scenario Model'!D28</f>
        <v>-4.8204899049332086</v>
      </c>
      <c r="E11" s="24">
        <f>'Scenario Model'!E28</f>
        <v>-9.3801131479921871</v>
      </c>
    </row>
    <row r="12" spans="1:5" ht="15" customHeight="1" x14ac:dyDescent="0.3">
      <c r="A12" s="8" t="s">
        <v>121</v>
      </c>
      <c r="B12" s="21">
        <f>'Scenario Model'!B33</f>
        <v>1569.6217499999839</v>
      </c>
      <c r="C12" s="21">
        <f>'Scenario Model'!C33</f>
        <v>18548.119895599979</v>
      </c>
      <c r="D12" s="21">
        <f>'Scenario Model'!D33</f>
        <v>-45540.405863999957</v>
      </c>
      <c r="E12" s="21">
        <f>'Scenario Model'!E33</f>
        <v>-77102.756080000006</v>
      </c>
    </row>
    <row r="13" spans="1:5" ht="15" customHeight="1" x14ac:dyDescent="0.3">
      <c r="A13" s="8" t="s">
        <v>47</v>
      </c>
      <c r="B13" s="24">
        <f>'Scenario Model'!B34</f>
        <v>1.1902982550443559</v>
      </c>
      <c r="C13" s="24">
        <f>'Scenario Model'!C34</f>
        <v>0.80455823532652526</v>
      </c>
      <c r="D13" s="24">
        <f>'Scenario Model'!D34</f>
        <v>-11.648958088291348</v>
      </c>
      <c r="E13" s="24">
        <f>'Scenario Model'!E34</f>
        <v>-1.4989075997675045</v>
      </c>
    </row>
    <row r="15" spans="1:5" ht="15" customHeight="1" x14ac:dyDescent="0.3"/>
    <row r="16" spans="1:5" ht="30" customHeight="1" x14ac:dyDescent="0.3"/>
    <row r="18" ht="15" customHeight="1" x14ac:dyDescent="0.3"/>
    <row r="19" ht="15" customHeight="1" x14ac:dyDescent="0.3"/>
    <row r="20" ht="15" customHeight="1" x14ac:dyDescent="0.3"/>
    <row r="22" ht="15" customHeight="1" x14ac:dyDescent="0.3"/>
    <row r="23" ht="19.5" customHeight="1" x14ac:dyDescent="0.3"/>
    <row r="24" ht="15" customHeight="1" x14ac:dyDescent="0.3"/>
    <row r="25" ht="15" customHeight="1" x14ac:dyDescent="0.3"/>
    <row r="26" ht="15" customHeight="1" x14ac:dyDescent="0.3"/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Historicals</vt:lpstr>
      <vt:lpstr>Segment Data</vt:lpstr>
      <vt:lpstr>Assumptions</vt:lpstr>
      <vt:lpstr>Scenario Model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Anand S Jacob</cp:lastModifiedBy>
  <cp:revision>3</cp:revision>
  <dcterms:created xsi:type="dcterms:W3CDTF">2026-09-16T12:44:03Z</dcterms:created>
  <dcterms:modified xsi:type="dcterms:W3CDTF">2026-09-17T03:35:26Z</dcterms:modified>
  <dc:language>en-US</dc:language>
</cp:coreProperties>
</file>